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1 - Python\1 - consolidar notas\mark6\NOTAS 3T\"/>
    </mc:Choice>
  </mc:AlternateContent>
  <xr:revisionPtr revIDLastSave="0" documentId="13_ncr:1_{0B991F9D-B45F-412A-9FE3-EE42EC8EC9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ªIM01-EM" sheetId="1" r:id="rId1"/>
    <sheet name="1ªIM02-EM" sheetId="2" r:id="rId2"/>
    <sheet name="1ªIM03-EM" sheetId="3" r:id="rId3"/>
    <sheet name="2ªIM01-EM-ENE" sheetId="4" r:id="rId4"/>
    <sheet name="2ªIM01-EM-MID" sheetId="5" r:id="rId5"/>
    <sheet name="2ªIM02-EM-MID" sheetId="6" r:id="rId6"/>
    <sheet name="3ªIM01-EM-ENE" sheetId="7" r:id="rId7"/>
    <sheet name="3ªIM01-EM-MI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" i="4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" i="8"/>
  <c r="D3" i="7"/>
  <c r="D4" i="7"/>
  <c r="D5" i="7"/>
  <c r="D6" i="7"/>
  <c r="D7" i="7"/>
  <c r="D8" i="7"/>
  <c r="D9" i="7"/>
  <c r="D10" i="7"/>
  <c r="D11" i="7"/>
  <c r="D12" i="7"/>
  <c r="D13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" i="5"/>
  <c r="D2" i="3"/>
  <c r="D2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</calcChain>
</file>

<file path=xl/sharedStrings.xml><?xml version="1.0" encoding="utf-8"?>
<sst xmlns="http://schemas.openxmlformats.org/spreadsheetml/2006/main" count="205" uniqueCount="173">
  <si>
    <t>IDX</t>
  </si>
  <si>
    <t>NOME DO ALUNO</t>
  </si>
  <si>
    <t>ADRYELE SOUSA ALVES</t>
  </si>
  <si>
    <t>ANA LUISA GRIGORIO RIBEIRO</t>
  </si>
  <si>
    <t>ANA LUIZA DE CASTRO SILVA</t>
  </si>
  <si>
    <t>EMANUEL GUIMARAES MARIANO</t>
  </si>
  <si>
    <t>GABRIEL VIEIRA VERONESI DE VARGAS</t>
  </si>
  <si>
    <t>HEVELYN LAVINIA DE ALMEIDA DA SILVA</t>
  </si>
  <si>
    <t>IZABELLY PEREIRA GAMA</t>
  </si>
  <si>
    <t>JAMILLY SILVA DO CARMO</t>
  </si>
  <si>
    <t>KAMILA SOUZA DE OLIVEIRA</t>
  </si>
  <si>
    <t>KAUA AUGUSTO DA VITORIA BIANCHI</t>
  </si>
  <si>
    <t>KAUA DE CASTRO TEIXEIRA</t>
  </si>
  <si>
    <t>LUALISON DOS SANTOS DA HORA</t>
  </si>
  <si>
    <t>MAYRA OLIVEIRA DA SILVA</t>
  </si>
  <si>
    <t>PEDRO EMANUEL MARCELINO COSTA</t>
  </si>
  <si>
    <t>PEDRO LUCAS ABREU DE SOUZA</t>
  </si>
  <si>
    <t>RAYNE EMANUEL NUNES DE SOUSA</t>
  </si>
  <si>
    <t>RYANA SIQUEIRA DE OLIVEIRA</t>
  </si>
  <si>
    <t>SOPHIA MARIA VITORIA RODRIGUES</t>
  </si>
  <si>
    <t>VICTORIA THEREZA DO NASCIMENTO DOS SANTOS</t>
  </si>
  <si>
    <t>HENRIQUE CALDONAZZI SYLVESTRE</t>
  </si>
  <si>
    <t>DAVY SOARES DO ROSARIO</t>
  </si>
  <si>
    <t>KAUANNY KRISTINA XAVIER GAMA</t>
  </si>
  <si>
    <t>JOAO VITOR COUTINHO SANTOS</t>
  </si>
  <si>
    <t>MARIA TEREZA LIMA LASCOSCK</t>
  </si>
  <si>
    <t>ALLANA VICTORIA MONTEIRO GIRELI</t>
  </si>
  <si>
    <t>ANA BEATRIZ MOULIN RIBEIRO MACHADO</t>
  </si>
  <si>
    <t>ANA JULIA DUARTE SANTOS</t>
  </si>
  <si>
    <t>ANNA CLARA MAIA</t>
  </si>
  <si>
    <t>ARTHUR DE ALMEIDA KRUGER</t>
  </si>
  <si>
    <t>ASSUCENA SANTOS BERRO</t>
  </si>
  <si>
    <t>CRISLLANY OLIVEIRA MOURA</t>
  </si>
  <si>
    <t>DANIEL BARBOSA DE ARAUJO</t>
  </si>
  <si>
    <t>DAVI CRISTYAN PEREIRA MOTA</t>
  </si>
  <si>
    <t>DAVI MOULIN ZANON</t>
  </si>
  <si>
    <t>EMANUELY RODRIGUES DA VITORIA</t>
  </si>
  <si>
    <t>GUILHERME DOS SANTOS ALVES DA CONCEICAO</t>
  </si>
  <si>
    <t>HALISSON SANTOS DA SILVA</t>
  </si>
  <si>
    <t>INGRYD COSTA ESPANHOL NASCIMENTO</t>
  </si>
  <si>
    <t>ISABELA LHAIS CORREA CRUZ</t>
  </si>
  <si>
    <t>KAUAN LUCAS CAMPELO DE ANDRADE</t>
  </si>
  <si>
    <t>MARIANY MILLI COSTA</t>
  </si>
  <si>
    <t>NATIELI LEITE FRAGA LOPES</t>
  </si>
  <si>
    <t>VITORIA SCHULTZ</t>
  </si>
  <si>
    <t>HAGATA MADURO MONTEIRO</t>
  </si>
  <si>
    <t>LUCAS GABRIEL SILVA LEMOS</t>
  </si>
  <si>
    <t>ANNA LUIZA FERREIRA DE BRITO</t>
  </si>
  <si>
    <t>BRUNO ALLAN FERREIRA PIMENTA</t>
  </si>
  <si>
    <t>DIOGO TRASPADINI SANTOS</t>
  </si>
  <si>
    <t>ANA BEATRIZ APOLINARIO ZANON</t>
  </si>
  <si>
    <t>VINICIOS MESSIAS DE JESUS</t>
  </si>
  <si>
    <t>ANA BEATRYZ DOS SANTOS SOARES</t>
  </si>
  <si>
    <t>ANDRIELLY VITORIA LYRA DE SOUZA</t>
  </si>
  <si>
    <t>CAMILLA DE JESUS SANTOS</t>
  </si>
  <si>
    <t>CARLOS DANYEL ALVARENGA MARCELINO</t>
  </si>
  <si>
    <t>GEFERSSON SOUZA LIMA</t>
  </si>
  <si>
    <t>JOAO MIGUEL GOMES PEREIRA</t>
  </si>
  <si>
    <t>LETICIA DA COSTA LOURENCO</t>
  </si>
  <si>
    <t>LUCYANA AGUIAR LEMOS</t>
  </si>
  <si>
    <t>MARIA EDUARDA MARTINS ROSA</t>
  </si>
  <si>
    <t>NICOLE SANTOS PEREIRA</t>
  </si>
  <si>
    <t>NICOLLY VICENTE MARQUES</t>
  </si>
  <si>
    <t>SULAMITA VITORIA SOUZA MENEZES</t>
  </si>
  <si>
    <t>VICTOR ANDRADE CUNHA PAGANI</t>
  </si>
  <si>
    <t>GUILHERME DUARTE DOS REIS MORAIS</t>
  </si>
  <si>
    <t>YURI SOARES DE AMURIM</t>
  </si>
  <si>
    <t>LEANDRO NASCIMENTO DA MATA</t>
  </si>
  <si>
    <t>CARLOS DANIEL SIMOES AMORIM</t>
  </si>
  <si>
    <t>KYARA DE ALMEIDA MARCELINO</t>
  </si>
  <si>
    <t>EDGAR FERREIRA DE LIMA</t>
  </si>
  <si>
    <t>ERIK DA SILVA MORAIS</t>
  </si>
  <si>
    <t>ALICE VIANA NASCIMENTO</t>
  </si>
  <si>
    <t>ISAQUE ANDRE FIGUEREDO SILVA</t>
  </si>
  <si>
    <t>CRISTIANO RONALDO ALVARENGA PIMENTEL</t>
  </si>
  <si>
    <t>ELISA REGINA SILVA DE SOUSA</t>
  </si>
  <si>
    <t>FLAVIANO DE ALMEIDA SANTANA</t>
  </si>
  <si>
    <t>GUSTAVO BARBOSA DE SOUSA</t>
  </si>
  <si>
    <t>HELTON EDUARDO SILVA VASCONCELOS</t>
  </si>
  <si>
    <t>HENZO GUILHERME MEDEIROS DOS SANTOS</t>
  </si>
  <si>
    <t>ISAQUE DIAS RODRIGUES</t>
  </si>
  <si>
    <t>JHONATA SERQUEIRA AMBROZINI</t>
  </si>
  <si>
    <t>KAWAN DE JESUS BONELAR</t>
  </si>
  <si>
    <t>KELVIN DE OLIVEIRA NASCIMENTO</t>
  </si>
  <si>
    <t>LARA CRISPIM DA SILVA</t>
  </si>
  <si>
    <t>LEONARDO SOARES ZAMPROGNO</t>
  </si>
  <si>
    <t>MARIA GABRYHELLEN SOUZA MOTA</t>
  </si>
  <si>
    <t>MATEUS LUCAS DOS SANTOS</t>
  </si>
  <si>
    <t>NAYARA DE JESUS SOUZA</t>
  </si>
  <si>
    <t>RAFAEL ALMEIDA CORREA</t>
  </si>
  <si>
    <t>RHUAN MATEUS DE OLIVEIRA ROZA</t>
  </si>
  <si>
    <t>ROGERIO NAPONUCENA DOS SANTOS JUNIOR</t>
  </si>
  <si>
    <t>RUAN VICTOR DOS SANTOS DA SILVA</t>
  </si>
  <si>
    <t>THARSYS ALMEIDA VITORINO</t>
  </si>
  <si>
    <t>RAFAEL ANGELI SUISSO</t>
  </si>
  <si>
    <t>LORENNA VICTORIA SANTANA DE OLIVEIRA</t>
  </si>
  <si>
    <t>KAYO VALDIR DA SILVA RODRIGUES</t>
  </si>
  <si>
    <t>STEVAO HELVECIO DE LIMA CORREA</t>
  </si>
  <si>
    <t>ADRIEL BRANDES DOS SANTOS</t>
  </si>
  <si>
    <t>ANA JULIA SILVEIRA CICERO</t>
  </si>
  <si>
    <t>ANA LUIZA STEIN DOS SANTOS</t>
  </si>
  <si>
    <t>ARTHUR DE MELO LODI</t>
  </si>
  <si>
    <t>CAIO MORONARI DOS SANTOS</t>
  </si>
  <si>
    <t>GUSTAVO ANDRE SANTOS DO NASCIMENTO</t>
  </si>
  <si>
    <t>JOAO VITOR DE QUEIROZ COUTINHO</t>
  </si>
  <si>
    <t>JULIA RODRIGUES SANTANA</t>
  </si>
  <si>
    <t>KAIQUE DA SILVA DE SOUZA RAMOS</t>
  </si>
  <si>
    <t>KARLOS HENRIQUE OLIVEIRA TRASPADINI</t>
  </si>
  <si>
    <t>KAUA AGMAR DE ASSIS VIEIRA</t>
  </si>
  <si>
    <t>KAUANNY ESTEVAO DE OLIVEIRA</t>
  </si>
  <si>
    <t>LAILA JHULLY VIAL DO PRADO</t>
  </si>
  <si>
    <t>LAVINIA DOS SANTOS RODRIGUES</t>
  </si>
  <si>
    <t>LIVIA MACHADO DA SILVA BARBOSA</t>
  </si>
  <si>
    <t>MARIA LUIZA MACHADO DE JESUS</t>
  </si>
  <si>
    <t>MAYSA OLIVEIRA DOS SANTOS</t>
  </si>
  <si>
    <t>MIRELLY MEIRELES DA SILVA MORAES</t>
  </si>
  <si>
    <t>RAYKA GIULIA VIEIRA GOMES</t>
  </si>
  <si>
    <t>THALES HENRIQUE CORREA PEREIRA</t>
  </si>
  <si>
    <t>VICTORIA DAYENDER DOS PASSOS DA COSTA</t>
  </si>
  <si>
    <t>BRENO SILVA FERNANDES</t>
  </si>
  <si>
    <t>ADRIAN FERREIRA SILVA BOTELHO</t>
  </si>
  <si>
    <t>ALEXSANDER DE JESUS SOUZA</t>
  </si>
  <si>
    <t>CHRISTIAN ALYSON REIS BONAMIGO</t>
  </si>
  <si>
    <t>DAVI SANTANA DOS SANTOS</t>
  </si>
  <si>
    <t>DYANNDRA MYRIAN VIEIRA DE OLIVEIRA</t>
  </si>
  <si>
    <t>ISABELLY OLIVEIRA DE MOURA</t>
  </si>
  <si>
    <t>JULIA DELFINO DA CONCEICAO</t>
  </si>
  <si>
    <t>KEVYN ARAUJO BARCELOS</t>
  </si>
  <si>
    <t>LUIZ GUSTAVO BARBOSA DE SOUZA</t>
  </si>
  <si>
    <t>MARIA EDUARDA GONCALVES AMORIM</t>
  </si>
  <si>
    <t>MATHEUS AUGUSTO GOMES BRAGA</t>
  </si>
  <si>
    <t>NATALIA VITORIA ROSA DE SOUZA</t>
  </si>
  <si>
    <t>SARA MARTINS DA SILVA</t>
  </si>
  <si>
    <t>SARAH ZAMPIERI FERREIRA</t>
  </si>
  <si>
    <t>MARIANA SOUZA</t>
  </si>
  <si>
    <t>BEATRIZ DE SOUZA ALMEIDA</t>
  </si>
  <si>
    <t>ALEXIA CALDEIRA DA SILVA</t>
  </si>
  <si>
    <t>ARLLESON DOUGLAS BELISARIO SOARES</t>
  </si>
  <si>
    <t>BRYAN POMPILIO BARBOSA</t>
  </si>
  <si>
    <t>JEFFERSON DA SILVA DELGADO</t>
  </si>
  <si>
    <t>JOAO VITOR ALVARENGA MACHADO</t>
  </si>
  <si>
    <t>JUAN FERREIRA LOUREIRO</t>
  </si>
  <si>
    <t>LETICIA PAULINO DOS SANTOS NETO</t>
  </si>
  <si>
    <t>MIKAELA RANGEL PAIXAO PEREIRA</t>
  </si>
  <si>
    <t>RAPHAELLI DE ALMEIDA ROSARIO</t>
  </si>
  <si>
    <t>RENATO AUGUSTO FERREIRA SANTANA</t>
  </si>
  <si>
    <t>VICTORIA RODRIGUES DE AMORIM</t>
  </si>
  <si>
    <t>ANA JULIA DE PAULA SOUZA</t>
  </si>
  <si>
    <t>CINTHYA SILVA DO CARMO</t>
  </si>
  <si>
    <t>EDUARDO VIEIRA DE JESUS</t>
  </si>
  <si>
    <t>EMILLY SERQUEIRA PECANHA</t>
  </si>
  <si>
    <t>EVELLIN TONONI DOS SANTOS</t>
  </si>
  <si>
    <t>FABIANA DOS SANTOS</t>
  </si>
  <si>
    <t>GUILHERME BARBOSA DA SILVA</t>
  </si>
  <si>
    <t>ICARO GONCALVES DOS REIS (TYLA GONCALVES DOS REIS)</t>
  </si>
  <si>
    <t>IZABELLY BRANDAO DA LUZ</t>
  </si>
  <si>
    <t>KAUA DA SILVA DE SOUZA RAMOS</t>
  </si>
  <si>
    <t>KAUANY VICTORIA MARTINS GENA</t>
  </si>
  <si>
    <t>MATHEUS WENDERROSCKY DO NASCIMENTO</t>
  </si>
  <si>
    <t>PAULO CESAR BARCELOS CRISTO FERREIRA</t>
  </si>
  <si>
    <t>SARA CLAUDINA FELISMINO</t>
  </si>
  <si>
    <t>THALITA PEREIRA SOARES</t>
  </si>
  <si>
    <t>VICTOR HUGO DE ANDRADE MIRANDA</t>
  </si>
  <si>
    <t>CLARISSA DA SILVA DOS ANJOS</t>
  </si>
  <si>
    <t>CAINA DA SILVA NASCIMENTO</t>
  </si>
  <si>
    <t>SOFIA RUBIA PRATI</t>
  </si>
  <si>
    <t>JULIA NATHANA AGNELO DE CARVALHO</t>
  </si>
  <si>
    <t>ANA CLARA RODRIGUES NORATO</t>
  </si>
  <si>
    <t>JOSUE CONCEICAO BARBOSA DE SOUZA</t>
  </si>
  <si>
    <t>QTDE</t>
  </si>
  <si>
    <t>NOTA</t>
  </si>
  <si>
    <t>IUDI RODRIGUES DE OLIVEIRA</t>
  </si>
  <si>
    <t>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</si>
</sst>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8" sqref="H8"/>
    </sheetView>
  </sheetViews>
  <sheetFormatPr defaultRowHeight="15" x14ac:dyDescent="0.25"/>
  <cols>
    <col min="1" max="1" width="4" bestFit="1" customWidth="1"/>
    <col min="2" max="2" width="44.85546875" bestFit="1" customWidth="1"/>
  </cols>
  <sheetData>
    <row r="1" spans="1:4" x14ac:dyDescent="0.25">
      <c r="A1" s="1" t="s">
        <v>0</v>
      </c>
      <c r="B1" s="1" t="s">
        <v>1</v>
      </c>
      <c r="C1" t="s">
        <v>169</v>
      </c>
      <c r="D1" t="s">
        <v>170</v>
      </c>
    </row>
    <row r="2" spans="1:4" x14ac:dyDescent="0.25">
      <c r="A2">
        <v>1</v>
      </c>
      <c r="B2" t="s">
        <v>2</v>
      </c>
      <c r="C2">
        <v>8</v>
      </c>
      <c r="D2">
        <f t="shared" ref="D2:D26" si="0">IF(C2="", 0, ROUND( 4 + (C2 - MIN($C:$C)) * 6 / (MAX($C:$C) - MIN($C:$C)), 0))</f>
        <v>7</v>
      </c>
    </row>
    <row r="3" spans="1:4" x14ac:dyDescent="0.25">
      <c r="A3">
        <v>2</v>
      </c>
      <c r="B3" t="s">
        <v>3</v>
      </c>
      <c r="C3">
        <v>1</v>
      </c>
      <c r="D3">
        <f t="shared" si="0"/>
        <v>4</v>
      </c>
    </row>
    <row r="4" spans="1:4" x14ac:dyDescent="0.25">
      <c r="A4">
        <v>3</v>
      </c>
      <c r="B4" t="s">
        <v>4</v>
      </c>
      <c r="C4">
        <v>8</v>
      </c>
      <c r="D4">
        <f t="shared" si="0"/>
        <v>7</v>
      </c>
    </row>
    <row r="5" spans="1:4" x14ac:dyDescent="0.25">
      <c r="A5">
        <v>8</v>
      </c>
      <c r="B5" t="s">
        <v>5</v>
      </c>
      <c r="C5">
        <v>14</v>
      </c>
      <c r="D5">
        <f t="shared" si="0"/>
        <v>10</v>
      </c>
    </row>
    <row r="6" spans="1:4" x14ac:dyDescent="0.25">
      <c r="A6">
        <v>10</v>
      </c>
      <c r="B6" t="s">
        <v>6</v>
      </c>
      <c r="C6">
        <v>6</v>
      </c>
      <c r="D6">
        <f t="shared" si="0"/>
        <v>6</v>
      </c>
    </row>
    <row r="7" spans="1:4" x14ac:dyDescent="0.25">
      <c r="A7">
        <v>12</v>
      </c>
      <c r="B7" t="s">
        <v>7</v>
      </c>
      <c r="C7">
        <v>12</v>
      </c>
      <c r="D7">
        <f t="shared" si="0"/>
        <v>9</v>
      </c>
    </row>
    <row r="8" spans="1:4" x14ac:dyDescent="0.25">
      <c r="A8">
        <v>13</v>
      </c>
      <c r="B8" t="s">
        <v>8</v>
      </c>
      <c r="C8">
        <v>5</v>
      </c>
      <c r="D8">
        <f t="shared" si="0"/>
        <v>6</v>
      </c>
    </row>
    <row r="9" spans="1:4" x14ac:dyDescent="0.25">
      <c r="A9">
        <v>14</v>
      </c>
      <c r="B9" t="s">
        <v>9</v>
      </c>
      <c r="C9">
        <v>11</v>
      </c>
      <c r="D9">
        <f t="shared" si="0"/>
        <v>9</v>
      </c>
    </row>
    <row r="10" spans="1:4" x14ac:dyDescent="0.25">
      <c r="A10">
        <v>15</v>
      </c>
      <c r="B10" t="s">
        <v>10</v>
      </c>
      <c r="C10">
        <v>6</v>
      </c>
      <c r="D10">
        <f t="shared" si="0"/>
        <v>6</v>
      </c>
    </row>
    <row r="11" spans="1:4" x14ac:dyDescent="0.25">
      <c r="A11">
        <v>16</v>
      </c>
      <c r="B11" t="s">
        <v>11</v>
      </c>
      <c r="C11">
        <v>1</v>
      </c>
      <c r="D11">
        <f t="shared" si="0"/>
        <v>4</v>
      </c>
    </row>
    <row r="12" spans="1:4" x14ac:dyDescent="0.25">
      <c r="A12">
        <v>17</v>
      </c>
      <c r="B12" t="s">
        <v>12</v>
      </c>
      <c r="C12">
        <v>11</v>
      </c>
      <c r="D12">
        <f t="shared" si="0"/>
        <v>9</v>
      </c>
    </row>
    <row r="13" spans="1:4" x14ac:dyDescent="0.25">
      <c r="A13">
        <v>18</v>
      </c>
      <c r="B13" t="s">
        <v>13</v>
      </c>
      <c r="C13">
        <v>2</v>
      </c>
      <c r="D13">
        <f t="shared" si="0"/>
        <v>4</v>
      </c>
    </row>
    <row r="14" spans="1:4" x14ac:dyDescent="0.25">
      <c r="A14">
        <v>21</v>
      </c>
      <c r="B14" t="s">
        <v>14</v>
      </c>
      <c r="C14">
        <v>9</v>
      </c>
      <c r="D14">
        <f t="shared" si="0"/>
        <v>8</v>
      </c>
    </row>
    <row r="15" spans="1:4" x14ac:dyDescent="0.25">
      <c r="A15">
        <v>22</v>
      </c>
      <c r="B15" t="s">
        <v>15</v>
      </c>
      <c r="D15">
        <f t="shared" si="0"/>
        <v>0</v>
      </c>
    </row>
    <row r="16" spans="1:4" x14ac:dyDescent="0.25">
      <c r="A16">
        <v>23</v>
      </c>
      <c r="B16" t="s">
        <v>16</v>
      </c>
      <c r="C16">
        <v>7</v>
      </c>
      <c r="D16">
        <f t="shared" si="0"/>
        <v>7</v>
      </c>
    </row>
    <row r="17" spans="1:4" x14ac:dyDescent="0.25">
      <c r="A17">
        <v>25</v>
      </c>
      <c r="B17" t="s">
        <v>17</v>
      </c>
      <c r="D17">
        <f t="shared" si="0"/>
        <v>0</v>
      </c>
    </row>
    <row r="18" spans="1:4" x14ac:dyDescent="0.25">
      <c r="A18">
        <v>27</v>
      </c>
      <c r="B18" t="s">
        <v>18</v>
      </c>
      <c r="C18">
        <v>13</v>
      </c>
      <c r="D18">
        <f t="shared" si="0"/>
        <v>10</v>
      </c>
    </row>
    <row r="19" spans="1:4" x14ac:dyDescent="0.25">
      <c r="A19">
        <v>28</v>
      </c>
      <c r="B19" t="s">
        <v>19</v>
      </c>
      <c r="C19">
        <v>5</v>
      </c>
      <c r="D19">
        <f t="shared" si="0"/>
        <v>6</v>
      </c>
    </row>
    <row r="20" spans="1:4" x14ac:dyDescent="0.25">
      <c r="A20">
        <v>29</v>
      </c>
      <c r="B20" t="s">
        <v>20</v>
      </c>
      <c r="C20">
        <v>5</v>
      </c>
      <c r="D20">
        <f t="shared" si="0"/>
        <v>6</v>
      </c>
    </row>
    <row r="21" spans="1:4" x14ac:dyDescent="0.25">
      <c r="A21">
        <v>30</v>
      </c>
      <c r="B21" t="s">
        <v>21</v>
      </c>
      <c r="C21">
        <v>10</v>
      </c>
      <c r="D21">
        <f t="shared" si="0"/>
        <v>8</v>
      </c>
    </row>
    <row r="22" spans="1:4" x14ac:dyDescent="0.25">
      <c r="A22">
        <v>31</v>
      </c>
      <c r="B22" t="s">
        <v>22</v>
      </c>
      <c r="C22">
        <v>8</v>
      </c>
      <c r="D22">
        <f t="shared" si="0"/>
        <v>7</v>
      </c>
    </row>
    <row r="23" spans="1:4" x14ac:dyDescent="0.25">
      <c r="A23">
        <v>32</v>
      </c>
      <c r="B23" t="s">
        <v>23</v>
      </c>
      <c r="C23">
        <v>2</v>
      </c>
      <c r="D23">
        <f t="shared" si="0"/>
        <v>4</v>
      </c>
    </row>
    <row r="24" spans="1:4" x14ac:dyDescent="0.25">
      <c r="A24">
        <v>34</v>
      </c>
      <c r="B24" t="s">
        <v>24</v>
      </c>
      <c r="C24">
        <v>6</v>
      </c>
      <c r="D24">
        <f t="shared" si="0"/>
        <v>6</v>
      </c>
    </row>
    <row r="25" spans="1:4" x14ac:dyDescent="0.25">
      <c r="A25">
        <v>36</v>
      </c>
      <c r="B25" t="s">
        <v>25</v>
      </c>
      <c r="C25">
        <v>9</v>
      </c>
      <c r="D25">
        <f t="shared" si="0"/>
        <v>8</v>
      </c>
    </row>
    <row r="26" spans="1:4" x14ac:dyDescent="0.25">
      <c r="A26" s="4">
        <v>37</v>
      </c>
      <c r="B26" s="4" t="s">
        <v>171</v>
      </c>
      <c r="C26">
        <v>1</v>
      </c>
      <c r="D26">
        <f t="shared" si="0"/>
        <v>4</v>
      </c>
    </row>
  </sheetData>
  <conditionalFormatting sqref="D2:D26">
    <cfRule type="cellIs" dxfId="5" priority="1" operator="lessThan">
      <formula>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3" sqref="C23"/>
    </sheetView>
  </sheetViews>
  <sheetFormatPr defaultRowHeight="15" x14ac:dyDescent="0.25"/>
  <cols>
    <col min="1" max="1" width="4" bestFit="1" customWidth="1"/>
    <col min="2" max="2" width="42.7109375" bestFit="1" customWidth="1"/>
  </cols>
  <sheetData>
    <row r="1" spans="1:4" x14ac:dyDescent="0.25">
      <c r="A1" s="1" t="s">
        <v>0</v>
      </c>
      <c r="B1" s="1" t="s">
        <v>1</v>
      </c>
      <c r="C1" t="s">
        <v>169</v>
      </c>
      <c r="D1" t="s">
        <v>170</v>
      </c>
    </row>
    <row r="2" spans="1:4" x14ac:dyDescent="0.25">
      <c r="A2">
        <v>1</v>
      </c>
      <c r="B2" t="s">
        <v>26</v>
      </c>
      <c r="C2">
        <v>12</v>
      </c>
      <c r="D2">
        <f t="shared" ref="D2:D27" si="0">IF(C2="", 0, ROUND( 4 + (C2 - MIN($C:$C)) * 6 / (MAX($C:$C) - MIN($C:$C)), 0))</f>
        <v>9</v>
      </c>
    </row>
    <row r="3" spans="1:4" x14ac:dyDescent="0.25">
      <c r="A3">
        <v>3</v>
      </c>
      <c r="B3" t="s">
        <v>27</v>
      </c>
      <c r="C3">
        <v>15</v>
      </c>
      <c r="D3">
        <f t="shared" si="0"/>
        <v>10</v>
      </c>
    </row>
    <row r="4" spans="1:4" x14ac:dyDescent="0.25">
      <c r="A4">
        <v>4</v>
      </c>
      <c r="B4" t="s">
        <v>28</v>
      </c>
      <c r="C4">
        <v>12</v>
      </c>
      <c r="D4">
        <f t="shared" si="0"/>
        <v>9</v>
      </c>
    </row>
    <row r="5" spans="1:4" x14ac:dyDescent="0.25">
      <c r="A5">
        <v>5</v>
      </c>
      <c r="B5" t="s">
        <v>29</v>
      </c>
      <c r="C5">
        <v>6</v>
      </c>
      <c r="D5">
        <f t="shared" si="0"/>
        <v>6</v>
      </c>
    </row>
    <row r="6" spans="1:4" x14ac:dyDescent="0.25">
      <c r="A6">
        <v>6</v>
      </c>
      <c r="B6" t="s">
        <v>30</v>
      </c>
      <c r="C6">
        <v>11</v>
      </c>
      <c r="D6">
        <f t="shared" si="0"/>
        <v>8</v>
      </c>
    </row>
    <row r="7" spans="1:4" x14ac:dyDescent="0.25">
      <c r="A7">
        <v>7</v>
      </c>
      <c r="B7" t="s">
        <v>31</v>
      </c>
      <c r="C7">
        <v>13</v>
      </c>
      <c r="D7">
        <f t="shared" si="0"/>
        <v>9</v>
      </c>
    </row>
    <row r="8" spans="1:4" x14ac:dyDescent="0.25">
      <c r="A8">
        <v>9</v>
      </c>
      <c r="B8" t="s">
        <v>32</v>
      </c>
      <c r="C8">
        <v>14</v>
      </c>
      <c r="D8">
        <f t="shared" si="0"/>
        <v>10</v>
      </c>
    </row>
    <row r="9" spans="1:4" x14ac:dyDescent="0.25">
      <c r="A9">
        <v>10</v>
      </c>
      <c r="B9" t="s">
        <v>33</v>
      </c>
      <c r="C9">
        <v>13</v>
      </c>
      <c r="D9">
        <f t="shared" si="0"/>
        <v>9</v>
      </c>
    </row>
    <row r="10" spans="1:4" x14ac:dyDescent="0.25">
      <c r="A10">
        <v>11</v>
      </c>
      <c r="B10" t="s">
        <v>34</v>
      </c>
      <c r="C10">
        <v>1</v>
      </c>
      <c r="D10">
        <f t="shared" si="0"/>
        <v>4</v>
      </c>
    </row>
    <row r="11" spans="1:4" x14ac:dyDescent="0.25">
      <c r="A11">
        <v>12</v>
      </c>
      <c r="B11" t="s">
        <v>35</v>
      </c>
      <c r="C11">
        <v>15</v>
      </c>
      <c r="D11">
        <f t="shared" si="0"/>
        <v>10</v>
      </c>
    </row>
    <row r="12" spans="1:4" x14ac:dyDescent="0.25">
      <c r="A12">
        <v>15</v>
      </c>
      <c r="B12" t="s">
        <v>36</v>
      </c>
      <c r="C12">
        <v>8</v>
      </c>
      <c r="D12">
        <f t="shared" si="0"/>
        <v>7</v>
      </c>
    </row>
    <row r="13" spans="1:4" x14ac:dyDescent="0.25">
      <c r="A13">
        <v>17</v>
      </c>
      <c r="B13" t="s">
        <v>37</v>
      </c>
      <c r="C13">
        <v>7</v>
      </c>
      <c r="D13">
        <f t="shared" si="0"/>
        <v>7</v>
      </c>
    </row>
    <row r="14" spans="1:4" x14ac:dyDescent="0.25">
      <c r="A14">
        <v>18</v>
      </c>
      <c r="B14" t="s">
        <v>38</v>
      </c>
      <c r="C14">
        <v>9</v>
      </c>
      <c r="D14">
        <f t="shared" si="0"/>
        <v>7</v>
      </c>
    </row>
    <row r="15" spans="1:4" x14ac:dyDescent="0.25">
      <c r="A15">
        <v>20</v>
      </c>
      <c r="B15" t="s">
        <v>39</v>
      </c>
      <c r="C15">
        <v>15</v>
      </c>
      <c r="D15">
        <f t="shared" si="0"/>
        <v>10</v>
      </c>
    </row>
    <row r="16" spans="1:4" x14ac:dyDescent="0.25">
      <c r="A16">
        <v>22</v>
      </c>
      <c r="B16" t="s">
        <v>40</v>
      </c>
      <c r="C16">
        <v>7</v>
      </c>
      <c r="D16">
        <f t="shared" si="0"/>
        <v>7</v>
      </c>
    </row>
    <row r="17" spans="1:4" x14ac:dyDescent="0.25">
      <c r="A17">
        <v>23</v>
      </c>
      <c r="B17" t="s">
        <v>41</v>
      </c>
      <c r="C17">
        <v>13</v>
      </c>
      <c r="D17">
        <f t="shared" si="0"/>
        <v>9</v>
      </c>
    </row>
    <row r="18" spans="1:4" x14ac:dyDescent="0.25">
      <c r="A18">
        <v>24</v>
      </c>
      <c r="B18" t="s">
        <v>42</v>
      </c>
      <c r="C18">
        <v>14</v>
      </c>
      <c r="D18">
        <f t="shared" si="0"/>
        <v>10</v>
      </c>
    </row>
    <row r="19" spans="1:4" x14ac:dyDescent="0.25">
      <c r="A19">
        <v>27</v>
      </c>
      <c r="B19" t="s">
        <v>43</v>
      </c>
      <c r="C19">
        <v>14</v>
      </c>
      <c r="D19">
        <f t="shared" si="0"/>
        <v>10</v>
      </c>
    </row>
    <row r="20" spans="1:4" x14ac:dyDescent="0.25">
      <c r="A20">
        <v>31</v>
      </c>
      <c r="B20" t="s">
        <v>44</v>
      </c>
      <c r="D20">
        <f t="shared" si="0"/>
        <v>0</v>
      </c>
    </row>
    <row r="21" spans="1:4" x14ac:dyDescent="0.25">
      <c r="A21">
        <v>32</v>
      </c>
      <c r="B21" t="s">
        <v>45</v>
      </c>
      <c r="C21">
        <v>10</v>
      </c>
      <c r="D21">
        <f t="shared" si="0"/>
        <v>8</v>
      </c>
    </row>
    <row r="22" spans="1:4" x14ac:dyDescent="0.25">
      <c r="A22">
        <v>33</v>
      </c>
      <c r="B22" t="s">
        <v>46</v>
      </c>
      <c r="C22">
        <v>8</v>
      </c>
      <c r="D22">
        <f t="shared" si="0"/>
        <v>7</v>
      </c>
    </row>
    <row r="23" spans="1:4" x14ac:dyDescent="0.25">
      <c r="A23">
        <v>35</v>
      </c>
      <c r="B23" t="s">
        <v>47</v>
      </c>
      <c r="C23">
        <v>6</v>
      </c>
      <c r="D23">
        <f t="shared" si="0"/>
        <v>6</v>
      </c>
    </row>
    <row r="24" spans="1:4" x14ac:dyDescent="0.25">
      <c r="A24">
        <v>36</v>
      </c>
      <c r="B24" t="s">
        <v>48</v>
      </c>
      <c r="C24">
        <v>13</v>
      </c>
      <c r="D24">
        <f t="shared" si="0"/>
        <v>9</v>
      </c>
    </row>
    <row r="25" spans="1:4" x14ac:dyDescent="0.25">
      <c r="A25">
        <v>38</v>
      </c>
      <c r="B25" t="s">
        <v>49</v>
      </c>
      <c r="C25">
        <v>10</v>
      </c>
      <c r="D25">
        <f t="shared" si="0"/>
        <v>8</v>
      </c>
    </row>
    <row r="26" spans="1:4" x14ac:dyDescent="0.25">
      <c r="A26">
        <v>39</v>
      </c>
      <c r="B26" t="s">
        <v>50</v>
      </c>
      <c r="C26">
        <v>13</v>
      </c>
      <c r="D26">
        <f t="shared" si="0"/>
        <v>9</v>
      </c>
    </row>
    <row r="27" spans="1:4" x14ac:dyDescent="0.25">
      <c r="A27">
        <v>40</v>
      </c>
      <c r="B27" t="s">
        <v>51</v>
      </c>
      <c r="C27">
        <v>3</v>
      </c>
      <c r="D27">
        <f t="shared" si="0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0" sqref="O10"/>
    </sheetView>
  </sheetViews>
  <sheetFormatPr defaultRowHeight="15" x14ac:dyDescent="0.25"/>
  <cols>
    <col min="1" max="1" width="4" bestFit="1" customWidth="1"/>
    <col min="2" max="2" width="37.42578125" bestFit="1" customWidth="1"/>
  </cols>
  <sheetData>
    <row r="1" spans="1:4" x14ac:dyDescent="0.25">
      <c r="A1" s="1" t="s">
        <v>0</v>
      </c>
      <c r="B1" s="1" t="s">
        <v>1</v>
      </c>
      <c r="C1" t="s">
        <v>169</v>
      </c>
      <c r="D1" t="s">
        <v>170</v>
      </c>
    </row>
    <row r="2" spans="1:4" x14ac:dyDescent="0.25">
      <c r="A2">
        <v>1</v>
      </c>
      <c r="B2" t="s">
        <v>52</v>
      </c>
      <c r="C2">
        <v>11</v>
      </c>
      <c r="D2">
        <f>IF(C2="", 0, ROUND( 4 + (C2 - MIN($C:$C)) * 6 / (MAX($C:$C) - MIN($C:$C)), 0))</f>
        <v>8</v>
      </c>
    </row>
    <row r="3" spans="1:4" x14ac:dyDescent="0.25">
      <c r="A3">
        <v>3</v>
      </c>
      <c r="B3" t="s">
        <v>53</v>
      </c>
      <c r="C3">
        <v>6</v>
      </c>
      <c r="D3">
        <f t="shared" ref="D3:D26" si="0">IF(C3="", 0, ROUND( 4 + (C3 - MIN($C:$C)) * 6 / (MAX($C:$C) - MIN($C:$C)), 0))</f>
        <v>5</v>
      </c>
    </row>
    <row r="4" spans="1:4" x14ac:dyDescent="0.25">
      <c r="A4">
        <v>4</v>
      </c>
      <c r="B4" t="s">
        <v>54</v>
      </c>
      <c r="D4">
        <f t="shared" si="0"/>
        <v>0</v>
      </c>
    </row>
    <row r="5" spans="1:4" x14ac:dyDescent="0.25">
      <c r="A5">
        <v>6</v>
      </c>
      <c r="B5" t="s">
        <v>55</v>
      </c>
      <c r="D5">
        <f t="shared" si="0"/>
        <v>0</v>
      </c>
    </row>
    <row r="6" spans="1:4" x14ac:dyDescent="0.25">
      <c r="A6">
        <v>13</v>
      </c>
      <c r="B6" t="s">
        <v>56</v>
      </c>
      <c r="C6">
        <v>11</v>
      </c>
      <c r="D6">
        <f t="shared" si="0"/>
        <v>8</v>
      </c>
    </row>
    <row r="7" spans="1:4" x14ac:dyDescent="0.25">
      <c r="A7">
        <v>14</v>
      </c>
      <c r="B7" t="s">
        <v>45</v>
      </c>
      <c r="D7">
        <f t="shared" si="0"/>
        <v>0</v>
      </c>
    </row>
    <row r="8" spans="1:4" x14ac:dyDescent="0.25">
      <c r="A8">
        <v>15</v>
      </c>
      <c r="B8" t="s">
        <v>21</v>
      </c>
      <c r="D8">
        <f t="shared" si="0"/>
        <v>0</v>
      </c>
    </row>
    <row r="9" spans="1:4" x14ac:dyDescent="0.25">
      <c r="A9">
        <v>16</v>
      </c>
      <c r="B9" t="s">
        <v>57</v>
      </c>
      <c r="C9">
        <v>14</v>
      </c>
      <c r="D9">
        <f t="shared" si="0"/>
        <v>10</v>
      </c>
    </row>
    <row r="10" spans="1:4" x14ac:dyDescent="0.25">
      <c r="A10">
        <v>19</v>
      </c>
      <c r="B10" t="s">
        <v>58</v>
      </c>
      <c r="C10">
        <v>12</v>
      </c>
      <c r="D10">
        <f t="shared" si="0"/>
        <v>9</v>
      </c>
    </row>
    <row r="11" spans="1:4" x14ac:dyDescent="0.25">
      <c r="A11">
        <v>20</v>
      </c>
      <c r="B11" t="s">
        <v>59</v>
      </c>
      <c r="C11">
        <v>9</v>
      </c>
      <c r="D11">
        <f t="shared" si="0"/>
        <v>7</v>
      </c>
    </row>
    <row r="12" spans="1:4" x14ac:dyDescent="0.25">
      <c r="A12">
        <v>22</v>
      </c>
      <c r="B12" t="s">
        <v>60</v>
      </c>
      <c r="C12">
        <v>12</v>
      </c>
      <c r="D12">
        <f t="shared" si="0"/>
        <v>9</v>
      </c>
    </row>
    <row r="13" spans="1:4" x14ac:dyDescent="0.25">
      <c r="A13">
        <v>24</v>
      </c>
      <c r="B13" t="s">
        <v>61</v>
      </c>
      <c r="C13">
        <v>13</v>
      </c>
      <c r="D13">
        <f t="shared" si="0"/>
        <v>9</v>
      </c>
    </row>
    <row r="14" spans="1:4" x14ac:dyDescent="0.25">
      <c r="A14">
        <v>25</v>
      </c>
      <c r="B14" t="s">
        <v>62</v>
      </c>
      <c r="C14">
        <v>14</v>
      </c>
      <c r="D14">
        <f t="shared" si="0"/>
        <v>10</v>
      </c>
    </row>
    <row r="15" spans="1:4" x14ac:dyDescent="0.25">
      <c r="A15">
        <v>27</v>
      </c>
      <c r="B15" t="s">
        <v>63</v>
      </c>
      <c r="D15">
        <f t="shared" si="0"/>
        <v>0</v>
      </c>
    </row>
    <row r="16" spans="1:4" x14ac:dyDescent="0.25">
      <c r="A16">
        <v>29</v>
      </c>
      <c r="B16" t="s">
        <v>64</v>
      </c>
      <c r="C16">
        <v>6</v>
      </c>
      <c r="D16">
        <f t="shared" si="0"/>
        <v>5</v>
      </c>
    </row>
    <row r="17" spans="1:4" x14ac:dyDescent="0.25">
      <c r="A17">
        <v>31</v>
      </c>
      <c r="B17" t="s">
        <v>65</v>
      </c>
      <c r="D17">
        <f t="shared" si="0"/>
        <v>0</v>
      </c>
    </row>
    <row r="18" spans="1:4" x14ac:dyDescent="0.25">
      <c r="A18">
        <v>32</v>
      </c>
      <c r="B18" t="s">
        <v>66</v>
      </c>
      <c r="C18">
        <v>9</v>
      </c>
      <c r="D18">
        <f t="shared" si="0"/>
        <v>7</v>
      </c>
    </row>
    <row r="19" spans="1:4" x14ac:dyDescent="0.25">
      <c r="A19">
        <v>33</v>
      </c>
      <c r="B19" t="s">
        <v>67</v>
      </c>
      <c r="C19">
        <v>4</v>
      </c>
      <c r="D19">
        <f t="shared" si="0"/>
        <v>4</v>
      </c>
    </row>
    <row r="20" spans="1:4" x14ac:dyDescent="0.25">
      <c r="A20">
        <v>34</v>
      </c>
      <c r="B20" t="s">
        <v>68</v>
      </c>
      <c r="C20">
        <v>8</v>
      </c>
      <c r="D20">
        <f t="shared" si="0"/>
        <v>6</v>
      </c>
    </row>
    <row r="21" spans="1:4" x14ac:dyDescent="0.25">
      <c r="A21">
        <v>35</v>
      </c>
      <c r="B21" t="s">
        <v>69</v>
      </c>
      <c r="C21">
        <v>6</v>
      </c>
      <c r="D21">
        <f t="shared" si="0"/>
        <v>5</v>
      </c>
    </row>
    <row r="22" spans="1:4" x14ac:dyDescent="0.25">
      <c r="A22">
        <v>36</v>
      </c>
      <c r="B22" t="s">
        <v>70</v>
      </c>
      <c r="D22">
        <f t="shared" si="0"/>
        <v>0</v>
      </c>
    </row>
    <row r="23" spans="1:4" x14ac:dyDescent="0.25">
      <c r="A23">
        <v>37</v>
      </c>
      <c r="B23" t="s">
        <v>71</v>
      </c>
      <c r="D23">
        <f t="shared" si="0"/>
        <v>0</v>
      </c>
    </row>
    <row r="24" spans="1:4" x14ac:dyDescent="0.25">
      <c r="A24">
        <v>38</v>
      </c>
      <c r="B24" t="s">
        <v>72</v>
      </c>
      <c r="D24">
        <f t="shared" si="0"/>
        <v>0</v>
      </c>
    </row>
    <row r="25" spans="1:4" x14ac:dyDescent="0.25">
      <c r="A25">
        <v>40</v>
      </c>
      <c r="B25" t="s">
        <v>73</v>
      </c>
      <c r="D25">
        <f t="shared" si="0"/>
        <v>0</v>
      </c>
    </row>
    <row r="26" spans="1:4" x14ac:dyDescent="0.25">
      <c r="D26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3" sqref="C23"/>
    </sheetView>
  </sheetViews>
  <sheetFormatPr defaultRowHeight="15" x14ac:dyDescent="0.25"/>
  <cols>
    <col min="1" max="1" width="4" bestFit="1" customWidth="1"/>
    <col min="2" max="2" width="41" bestFit="1" customWidth="1"/>
  </cols>
  <sheetData>
    <row r="1" spans="1:4" x14ac:dyDescent="0.25">
      <c r="A1" s="1" t="s">
        <v>0</v>
      </c>
      <c r="B1" s="1" t="s">
        <v>1</v>
      </c>
      <c r="C1" t="s">
        <v>169</v>
      </c>
      <c r="D1" t="s">
        <v>170</v>
      </c>
    </row>
    <row r="2" spans="1:4" x14ac:dyDescent="0.25">
      <c r="A2">
        <v>4</v>
      </c>
      <c r="B2" t="s">
        <v>74</v>
      </c>
      <c r="C2">
        <v>8</v>
      </c>
      <c r="D2">
        <f t="shared" ref="D2:D26" si="0">IF(C2="", 0, ROUND( 4 + (C2 - MIN($C:$C)) * 6 / (MAX($C:$C) - MIN($C:$C)), 0))</f>
        <v>8</v>
      </c>
    </row>
    <row r="3" spans="1:4" x14ac:dyDescent="0.25">
      <c r="A3">
        <v>7</v>
      </c>
      <c r="B3" t="s">
        <v>75</v>
      </c>
      <c r="C3">
        <v>2</v>
      </c>
      <c r="D3">
        <f t="shared" si="0"/>
        <v>4</v>
      </c>
    </row>
    <row r="4" spans="1:4" x14ac:dyDescent="0.25">
      <c r="A4">
        <v>8</v>
      </c>
      <c r="B4" t="s">
        <v>76</v>
      </c>
      <c r="C4">
        <v>7</v>
      </c>
      <c r="D4">
        <f t="shared" si="0"/>
        <v>7</v>
      </c>
    </row>
    <row r="5" spans="1:4" x14ac:dyDescent="0.25">
      <c r="A5">
        <v>9</v>
      </c>
      <c r="B5" t="s">
        <v>77</v>
      </c>
      <c r="C5">
        <v>10</v>
      </c>
      <c r="D5">
        <f t="shared" si="0"/>
        <v>9</v>
      </c>
    </row>
    <row r="6" spans="1:4" x14ac:dyDescent="0.25">
      <c r="A6">
        <v>11</v>
      </c>
      <c r="B6" t="s">
        <v>78</v>
      </c>
      <c r="C6">
        <v>12</v>
      </c>
      <c r="D6">
        <f t="shared" si="0"/>
        <v>10</v>
      </c>
    </row>
    <row r="7" spans="1:4" x14ac:dyDescent="0.25">
      <c r="A7">
        <v>12</v>
      </c>
      <c r="B7" t="s">
        <v>79</v>
      </c>
      <c r="C7">
        <v>9</v>
      </c>
      <c r="D7">
        <f t="shared" si="0"/>
        <v>8</v>
      </c>
    </row>
    <row r="8" spans="1:4" x14ac:dyDescent="0.25">
      <c r="A8">
        <v>14</v>
      </c>
      <c r="B8" t="s">
        <v>80</v>
      </c>
      <c r="C8">
        <v>8</v>
      </c>
      <c r="D8">
        <f t="shared" si="0"/>
        <v>8</v>
      </c>
    </row>
    <row r="9" spans="1:4" x14ac:dyDescent="0.25">
      <c r="A9">
        <v>15</v>
      </c>
      <c r="B9" t="s">
        <v>81</v>
      </c>
      <c r="C9">
        <v>11</v>
      </c>
      <c r="D9">
        <f t="shared" si="0"/>
        <v>9</v>
      </c>
    </row>
    <row r="10" spans="1:4" x14ac:dyDescent="0.25">
      <c r="A10">
        <v>17</v>
      </c>
      <c r="B10" t="s">
        <v>82</v>
      </c>
      <c r="C10">
        <v>6</v>
      </c>
      <c r="D10">
        <f t="shared" si="0"/>
        <v>6</v>
      </c>
    </row>
    <row r="11" spans="1:4" x14ac:dyDescent="0.25">
      <c r="A11">
        <v>18</v>
      </c>
      <c r="B11" t="s">
        <v>83</v>
      </c>
      <c r="C11">
        <v>3</v>
      </c>
      <c r="D11">
        <f t="shared" si="0"/>
        <v>5</v>
      </c>
    </row>
    <row r="12" spans="1:4" x14ac:dyDescent="0.25">
      <c r="A12">
        <v>19</v>
      </c>
      <c r="B12" t="s">
        <v>84</v>
      </c>
      <c r="C12">
        <v>7</v>
      </c>
      <c r="D12">
        <f t="shared" si="0"/>
        <v>7</v>
      </c>
    </row>
    <row r="13" spans="1:4" x14ac:dyDescent="0.25">
      <c r="A13">
        <v>20</v>
      </c>
      <c r="B13" t="s">
        <v>85</v>
      </c>
      <c r="C13">
        <v>5</v>
      </c>
      <c r="D13">
        <f t="shared" si="0"/>
        <v>6</v>
      </c>
    </row>
    <row r="14" spans="1:4" x14ac:dyDescent="0.25">
      <c r="A14">
        <v>21</v>
      </c>
      <c r="B14" t="s">
        <v>86</v>
      </c>
      <c r="C14">
        <v>5</v>
      </c>
      <c r="D14">
        <f t="shared" si="0"/>
        <v>6</v>
      </c>
    </row>
    <row r="15" spans="1:4" x14ac:dyDescent="0.25">
      <c r="A15">
        <v>22</v>
      </c>
      <c r="B15" t="s">
        <v>87</v>
      </c>
      <c r="C15">
        <v>12</v>
      </c>
      <c r="D15">
        <f t="shared" si="0"/>
        <v>10</v>
      </c>
    </row>
    <row r="16" spans="1:4" x14ac:dyDescent="0.25">
      <c r="A16">
        <v>24</v>
      </c>
      <c r="B16" t="s">
        <v>88</v>
      </c>
      <c r="C16">
        <v>12</v>
      </c>
      <c r="D16">
        <f t="shared" si="0"/>
        <v>10</v>
      </c>
    </row>
    <row r="17" spans="1:4" x14ac:dyDescent="0.25">
      <c r="A17">
        <v>25</v>
      </c>
      <c r="B17" t="s">
        <v>89</v>
      </c>
      <c r="C17">
        <v>12</v>
      </c>
      <c r="D17">
        <f t="shared" si="0"/>
        <v>10</v>
      </c>
    </row>
    <row r="18" spans="1:4" x14ac:dyDescent="0.25">
      <c r="A18">
        <v>26</v>
      </c>
      <c r="B18" t="s">
        <v>90</v>
      </c>
      <c r="C18">
        <v>5</v>
      </c>
      <c r="D18">
        <f t="shared" si="0"/>
        <v>6</v>
      </c>
    </row>
    <row r="19" spans="1:4" x14ac:dyDescent="0.25">
      <c r="A19">
        <v>28</v>
      </c>
      <c r="B19" t="s">
        <v>91</v>
      </c>
      <c r="C19">
        <v>10</v>
      </c>
      <c r="D19">
        <f t="shared" si="0"/>
        <v>9</v>
      </c>
    </row>
    <row r="20" spans="1:4" x14ac:dyDescent="0.25">
      <c r="A20">
        <v>29</v>
      </c>
      <c r="B20" t="s">
        <v>92</v>
      </c>
      <c r="C20">
        <v>6</v>
      </c>
      <c r="D20">
        <f t="shared" si="0"/>
        <v>6</v>
      </c>
    </row>
    <row r="21" spans="1:4" x14ac:dyDescent="0.25">
      <c r="A21">
        <v>30</v>
      </c>
      <c r="B21" t="s">
        <v>93</v>
      </c>
      <c r="C21">
        <v>12</v>
      </c>
      <c r="D21">
        <f t="shared" si="0"/>
        <v>10</v>
      </c>
    </row>
    <row r="22" spans="1:4" x14ac:dyDescent="0.25">
      <c r="A22">
        <v>33</v>
      </c>
      <c r="B22" t="s">
        <v>94</v>
      </c>
      <c r="C22">
        <v>6</v>
      </c>
      <c r="D22">
        <f t="shared" si="0"/>
        <v>6</v>
      </c>
    </row>
    <row r="23" spans="1:4" x14ac:dyDescent="0.25">
      <c r="A23">
        <v>34</v>
      </c>
      <c r="B23" t="s">
        <v>95</v>
      </c>
      <c r="D23">
        <f t="shared" si="0"/>
        <v>0</v>
      </c>
    </row>
    <row r="24" spans="1:4" x14ac:dyDescent="0.25">
      <c r="A24">
        <v>35</v>
      </c>
      <c r="B24" t="s">
        <v>96</v>
      </c>
      <c r="C24">
        <v>5</v>
      </c>
      <c r="D24">
        <f t="shared" si="0"/>
        <v>6</v>
      </c>
    </row>
    <row r="25" spans="1:4" x14ac:dyDescent="0.25">
      <c r="A25">
        <v>39</v>
      </c>
      <c r="B25" t="s">
        <v>97</v>
      </c>
      <c r="D25">
        <f t="shared" si="0"/>
        <v>0</v>
      </c>
    </row>
    <row r="26" spans="1:4" x14ac:dyDescent="0.25">
      <c r="A26">
        <v>40</v>
      </c>
      <c r="B26" t="s">
        <v>98</v>
      </c>
      <c r="C26">
        <v>8</v>
      </c>
      <c r="D26">
        <f t="shared" si="0"/>
        <v>8</v>
      </c>
    </row>
  </sheetData>
  <conditionalFormatting sqref="D2:D26">
    <cfRule type="cellIs" dxfId="4" priority="1" operator="lessThan">
      <formula>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5" x14ac:dyDescent="0.25"/>
  <cols>
    <col min="1" max="1" width="4" bestFit="1" customWidth="1"/>
    <col min="2" max="2" width="40" bestFit="1" customWidth="1"/>
  </cols>
  <sheetData>
    <row r="1" spans="1:4" x14ac:dyDescent="0.25">
      <c r="A1" s="1" t="s">
        <v>0</v>
      </c>
      <c r="B1" s="1" t="s">
        <v>1</v>
      </c>
      <c r="C1" t="s">
        <v>169</v>
      </c>
      <c r="D1" t="s">
        <v>170</v>
      </c>
    </row>
    <row r="2" spans="1:4" x14ac:dyDescent="0.25">
      <c r="A2">
        <v>1</v>
      </c>
      <c r="B2" t="s">
        <v>99</v>
      </c>
      <c r="C2">
        <v>4</v>
      </c>
      <c r="D2">
        <f>IF(C2="", 0, ROUND( 4 + (C2 - MIN($C:$C)) * 6 / (MAX($C:$C) - MIN($C:$C)), 0))</f>
        <v>6</v>
      </c>
    </row>
    <row r="3" spans="1:4" x14ac:dyDescent="0.25">
      <c r="A3">
        <v>2</v>
      </c>
      <c r="B3" t="s">
        <v>100</v>
      </c>
      <c r="C3">
        <v>4</v>
      </c>
      <c r="D3">
        <f t="shared" ref="D3:D23" si="0">IF(C3="", 0, ROUND( 4 + (C3 - MIN($C:$C)) * 6 / (MAX($C:$C) - MIN($C:$C)), 0))</f>
        <v>6</v>
      </c>
    </row>
    <row r="4" spans="1:4" x14ac:dyDescent="0.25">
      <c r="A4">
        <v>5</v>
      </c>
      <c r="B4" t="s">
        <v>101</v>
      </c>
      <c r="C4">
        <v>6</v>
      </c>
      <c r="D4">
        <f t="shared" si="0"/>
        <v>9</v>
      </c>
    </row>
    <row r="5" spans="1:4" x14ac:dyDescent="0.25">
      <c r="A5">
        <v>6</v>
      </c>
      <c r="B5" t="s">
        <v>102</v>
      </c>
      <c r="C5">
        <v>4</v>
      </c>
      <c r="D5">
        <f t="shared" si="0"/>
        <v>6</v>
      </c>
    </row>
    <row r="6" spans="1:4" x14ac:dyDescent="0.25">
      <c r="A6">
        <v>7</v>
      </c>
      <c r="B6" t="s">
        <v>103</v>
      </c>
      <c r="D6">
        <f t="shared" si="0"/>
        <v>0</v>
      </c>
    </row>
    <row r="7" spans="1:4" x14ac:dyDescent="0.25">
      <c r="A7">
        <v>8</v>
      </c>
      <c r="B7" t="s">
        <v>104</v>
      </c>
      <c r="C7">
        <v>5</v>
      </c>
      <c r="D7">
        <f t="shared" si="0"/>
        <v>8</v>
      </c>
    </row>
    <row r="8" spans="1:4" x14ac:dyDescent="0.25">
      <c r="A8">
        <v>9</v>
      </c>
      <c r="B8" t="s">
        <v>105</v>
      </c>
      <c r="C8">
        <v>6</v>
      </c>
      <c r="D8">
        <f t="shared" si="0"/>
        <v>9</v>
      </c>
    </row>
    <row r="9" spans="1:4" x14ac:dyDescent="0.25">
      <c r="A9">
        <v>10</v>
      </c>
      <c r="B9" t="s">
        <v>106</v>
      </c>
      <c r="C9">
        <v>4</v>
      </c>
      <c r="D9">
        <f t="shared" si="0"/>
        <v>6</v>
      </c>
    </row>
    <row r="10" spans="1:4" x14ac:dyDescent="0.25">
      <c r="A10">
        <v>11</v>
      </c>
      <c r="B10" t="s">
        <v>107</v>
      </c>
      <c r="C10">
        <v>2</v>
      </c>
      <c r="D10">
        <f t="shared" si="0"/>
        <v>4</v>
      </c>
    </row>
    <row r="11" spans="1:4" x14ac:dyDescent="0.25">
      <c r="A11">
        <v>12</v>
      </c>
      <c r="B11" t="s">
        <v>108</v>
      </c>
      <c r="D11">
        <f t="shared" si="0"/>
        <v>0</v>
      </c>
    </row>
    <row r="12" spans="1:4" x14ac:dyDescent="0.25">
      <c r="A12">
        <v>13</v>
      </c>
      <c r="B12" t="s">
        <v>109</v>
      </c>
      <c r="C12">
        <v>7</v>
      </c>
      <c r="D12">
        <f t="shared" si="0"/>
        <v>10</v>
      </c>
    </row>
    <row r="13" spans="1:4" x14ac:dyDescent="0.25">
      <c r="A13">
        <v>14</v>
      </c>
      <c r="B13" t="s">
        <v>110</v>
      </c>
      <c r="C13">
        <v>4</v>
      </c>
      <c r="D13">
        <f t="shared" si="0"/>
        <v>6</v>
      </c>
    </row>
    <row r="14" spans="1:4" x14ac:dyDescent="0.25">
      <c r="A14">
        <v>15</v>
      </c>
      <c r="B14" t="s">
        <v>111</v>
      </c>
      <c r="C14">
        <v>7</v>
      </c>
      <c r="D14">
        <f t="shared" si="0"/>
        <v>10</v>
      </c>
    </row>
    <row r="15" spans="1:4" x14ac:dyDescent="0.25">
      <c r="A15">
        <v>16</v>
      </c>
      <c r="B15" t="s">
        <v>112</v>
      </c>
      <c r="C15">
        <v>6</v>
      </c>
      <c r="D15">
        <f t="shared" si="0"/>
        <v>9</v>
      </c>
    </row>
    <row r="16" spans="1:4" x14ac:dyDescent="0.25">
      <c r="A16">
        <v>17</v>
      </c>
      <c r="B16" t="s">
        <v>113</v>
      </c>
      <c r="C16">
        <v>6</v>
      </c>
      <c r="D16">
        <f t="shared" si="0"/>
        <v>9</v>
      </c>
    </row>
    <row r="17" spans="1:6" x14ac:dyDescent="0.25">
      <c r="A17">
        <v>18</v>
      </c>
      <c r="B17" t="s">
        <v>114</v>
      </c>
      <c r="C17">
        <v>4</v>
      </c>
      <c r="D17">
        <f t="shared" si="0"/>
        <v>6</v>
      </c>
      <c r="F17" t="s">
        <v>172</v>
      </c>
    </row>
    <row r="18" spans="1:6" x14ac:dyDescent="0.25">
      <c r="A18">
        <v>19</v>
      </c>
      <c r="B18" t="s">
        <v>115</v>
      </c>
      <c r="C18">
        <v>6</v>
      </c>
      <c r="D18">
        <f t="shared" si="0"/>
        <v>9</v>
      </c>
    </row>
    <row r="19" spans="1:6" x14ac:dyDescent="0.25">
      <c r="A19">
        <v>20</v>
      </c>
      <c r="B19" t="s">
        <v>116</v>
      </c>
      <c r="C19">
        <v>2</v>
      </c>
      <c r="D19">
        <f t="shared" si="0"/>
        <v>4</v>
      </c>
    </row>
    <row r="20" spans="1:6" x14ac:dyDescent="0.25">
      <c r="A20">
        <v>22</v>
      </c>
      <c r="B20" t="s">
        <v>117</v>
      </c>
      <c r="C20">
        <v>7</v>
      </c>
      <c r="D20">
        <f t="shared" si="0"/>
        <v>10</v>
      </c>
    </row>
    <row r="21" spans="1:6" x14ac:dyDescent="0.25">
      <c r="A21">
        <v>23</v>
      </c>
      <c r="B21" t="s">
        <v>118</v>
      </c>
      <c r="C21">
        <v>4</v>
      </c>
      <c r="D21">
        <f t="shared" si="0"/>
        <v>6</v>
      </c>
    </row>
    <row r="22" spans="1:6" x14ac:dyDescent="0.25">
      <c r="A22">
        <v>24</v>
      </c>
      <c r="B22" t="s">
        <v>119</v>
      </c>
      <c r="D22">
        <f t="shared" si="0"/>
        <v>0</v>
      </c>
    </row>
    <row r="23" spans="1:6" x14ac:dyDescent="0.25">
      <c r="A23">
        <v>25</v>
      </c>
      <c r="B23" t="s">
        <v>120</v>
      </c>
      <c r="C23">
        <v>7</v>
      </c>
      <c r="D23">
        <f t="shared" si="0"/>
        <v>10</v>
      </c>
    </row>
  </sheetData>
  <conditionalFormatting sqref="D2:D23">
    <cfRule type="cellIs" dxfId="3" priority="1" operator="lessThan">
      <formula>6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0" sqref="L20"/>
    </sheetView>
  </sheetViews>
  <sheetFormatPr defaultRowHeight="15" x14ac:dyDescent="0.25"/>
  <cols>
    <col min="1" max="1" width="4" bestFit="1" customWidth="1"/>
    <col min="2" max="2" width="36.28515625" bestFit="1" customWidth="1"/>
  </cols>
  <sheetData>
    <row r="1" spans="1:4" x14ac:dyDescent="0.25">
      <c r="A1" s="1" t="s">
        <v>0</v>
      </c>
      <c r="B1" s="1" t="s">
        <v>1</v>
      </c>
      <c r="C1" t="s">
        <v>169</v>
      </c>
      <c r="D1" t="s">
        <v>170</v>
      </c>
    </row>
    <row r="2" spans="1:4" x14ac:dyDescent="0.25">
      <c r="A2">
        <v>2</v>
      </c>
      <c r="B2" t="s">
        <v>121</v>
      </c>
      <c r="C2">
        <v>3</v>
      </c>
      <c r="D2">
        <f>IF(C2="", 0, ROUND( 4 + (C2 - MIN($C:$C)) * 6 / (MAX($C:$C) - MIN($C:$C)), 0))</f>
        <v>4</v>
      </c>
    </row>
    <row r="3" spans="1:4" x14ac:dyDescent="0.25">
      <c r="A3">
        <v>4</v>
      </c>
      <c r="B3" t="s">
        <v>122</v>
      </c>
      <c r="C3">
        <v>8</v>
      </c>
      <c r="D3">
        <f t="shared" ref="D3:D16" si="0">IF(C3="", 0, ROUND( 4 + (C3 - MIN($C:$C)) * 6 / (MAX($C:$C) - MIN($C:$C)), 0))</f>
        <v>9</v>
      </c>
    </row>
    <row r="4" spans="1:4" x14ac:dyDescent="0.25">
      <c r="A4">
        <v>5</v>
      </c>
      <c r="B4" t="s">
        <v>123</v>
      </c>
      <c r="C4">
        <v>8</v>
      </c>
      <c r="D4">
        <f t="shared" si="0"/>
        <v>9</v>
      </c>
    </row>
    <row r="5" spans="1:4" x14ac:dyDescent="0.25">
      <c r="A5">
        <v>7</v>
      </c>
      <c r="B5" t="s">
        <v>124</v>
      </c>
      <c r="C5">
        <v>9</v>
      </c>
      <c r="D5">
        <f t="shared" si="0"/>
        <v>10</v>
      </c>
    </row>
    <row r="6" spans="1:4" x14ac:dyDescent="0.25">
      <c r="A6">
        <v>9</v>
      </c>
      <c r="B6" t="s">
        <v>125</v>
      </c>
      <c r="C6">
        <v>7</v>
      </c>
      <c r="D6">
        <f t="shared" si="0"/>
        <v>8</v>
      </c>
    </row>
    <row r="7" spans="1:4" x14ac:dyDescent="0.25">
      <c r="A7">
        <v>11</v>
      </c>
      <c r="B7" t="s">
        <v>126</v>
      </c>
      <c r="C7">
        <v>4</v>
      </c>
      <c r="D7">
        <f t="shared" si="0"/>
        <v>5</v>
      </c>
    </row>
    <row r="8" spans="1:4" x14ac:dyDescent="0.25">
      <c r="A8">
        <v>13</v>
      </c>
      <c r="B8" t="s">
        <v>127</v>
      </c>
      <c r="C8">
        <v>6</v>
      </c>
      <c r="D8">
        <f t="shared" si="0"/>
        <v>7</v>
      </c>
    </row>
    <row r="9" spans="1:4" x14ac:dyDescent="0.25">
      <c r="A9">
        <v>15</v>
      </c>
      <c r="B9" t="s">
        <v>128</v>
      </c>
      <c r="D9">
        <f t="shared" si="0"/>
        <v>0</v>
      </c>
    </row>
    <row r="10" spans="1:4" x14ac:dyDescent="0.25">
      <c r="A10">
        <v>17</v>
      </c>
      <c r="B10" t="s">
        <v>129</v>
      </c>
      <c r="D10">
        <f t="shared" si="0"/>
        <v>0</v>
      </c>
    </row>
    <row r="11" spans="1:4" x14ac:dyDescent="0.25">
      <c r="A11">
        <v>18</v>
      </c>
      <c r="B11" t="s">
        <v>130</v>
      </c>
      <c r="C11">
        <v>5</v>
      </c>
      <c r="D11">
        <f t="shared" si="0"/>
        <v>6</v>
      </c>
    </row>
    <row r="12" spans="1:4" x14ac:dyDescent="0.25">
      <c r="A12">
        <v>19</v>
      </c>
      <c r="B12" t="s">
        <v>131</v>
      </c>
      <c r="C12">
        <v>5</v>
      </c>
      <c r="D12">
        <f t="shared" si="0"/>
        <v>6</v>
      </c>
    </row>
    <row r="13" spans="1:4" x14ac:dyDescent="0.25">
      <c r="A13">
        <v>22</v>
      </c>
      <c r="B13" t="s">
        <v>132</v>
      </c>
      <c r="D13">
        <f t="shared" si="0"/>
        <v>0</v>
      </c>
    </row>
    <row r="14" spans="1:4" x14ac:dyDescent="0.25">
      <c r="A14">
        <v>23</v>
      </c>
      <c r="B14" t="s">
        <v>133</v>
      </c>
      <c r="C14">
        <v>4</v>
      </c>
      <c r="D14">
        <f t="shared" si="0"/>
        <v>5</v>
      </c>
    </row>
    <row r="15" spans="1:4" x14ac:dyDescent="0.25">
      <c r="A15">
        <v>25</v>
      </c>
      <c r="B15" t="s">
        <v>134</v>
      </c>
      <c r="D15">
        <f t="shared" si="0"/>
        <v>0</v>
      </c>
    </row>
    <row r="16" spans="1:4" x14ac:dyDescent="0.25">
      <c r="A16">
        <v>26</v>
      </c>
      <c r="B16" t="s">
        <v>135</v>
      </c>
      <c r="D16">
        <f t="shared" si="0"/>
        <v>0</v>
      </c>
    </row>
  </sheetData>
  <conditionalFormatting sqref="D2:D16">
    <cfRule type="cellIs" dxfId="2" priority="1" operator="lessThan">
      <formula>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5" x14ac:dyDescent="0.25"/>
  <cols>
    <col min="1" max="1" width="4" bestFit="1" customWidth="1"/>
    <col min="2" max="2" width="35.5703125" bestFit="1" customWidth="1"/>
  </cols>
  <sheetData>
    <row r="1" spans="1:4" x14ac:dyDescent="0.25">
      <c r="A1" s="1" t="s">
        <v>0</v>
      </c>
      <c r="B1" s="1" t="s">
        <v>1</v>
      </c>
      <c r="C1" t="s">
        <v>169</v>
      </c>
      <c r="D1" t="s">
        <v>170</v>
      </c>
    </row>
    <row r="2" spans="1:4" x14ac:dyDescent="0.25">
      <c r="A2">
        <v>1</v>
      </c>
      <c r="B2" t="s">
        <v>136</v>
      </c>
      <c r="C2">
        <v>10</v>
      </c>
      <c r="D2">
        <f>IF(C2="", 0, ROUND( 4 + (C2 - MIN($C:$C)) * 6 / (MAX($C:$C) - MIN($C:$C)), 0))</f>
        <v>10</v>
      </c>
    </row>
    <row r="3" spans="1:4" x14ac:dyDescent="0.25">
      <c r="A3">
        <v>2</v>
      </c>
      <c r="B3" t="s">
        <v>137</v>
      </c>
      <c r="D3">
        <f t="shared" ref="D3:D13" si="0">IF(C3="", 0, ROUND( 4 + (C3 - MIN($C:$C)) * 6 / (MAX($C:$C) - MIN($C:$C)), 0))</f>
        <v>0</v>
      </c>
    </row>
    <row r="4" spans="1:4" x14ac:dyDescent="0.25">
      <c r="A4">
        <v>4</v>
      </c>
      <c r="B4" t="s">
        <v>138</v>
      </c>
      <c r="C4">
        <v>5</v>
      </c>
      <c r="D4">
        <f t="shared" si="0"/>
        <v>6</v>
      </c>
    </row>
    <row r="5" spans="1:4" x14ac:dyDescent="0.25">
      <c r="A5">
        <v>7</v>
      </c>
      <c r="B5" t="s">
        <v>139</v>
      </c>
      <c r="C5">
        <v>10</v>
      </c>
      <c r="D5">
        <f t="shared" si="0"/>
        <v>10</v>
      </c>
    </row>
    <row r="6" spans="1:4" x14ac:dyDescent="0.25">
      <c r="A6">
        <v>8</v>
      </c>
      <c r="B6" t="s">
        <v>140</v>
      </c>
      <c r="C6">
        <v>5</v>
      </c>
      <c r="D6">
        <f t="shared" si="0"/>
        <v>6</v>
      </c>
    </row>
    <row r="7" spans="1:4" x14ac:dyDescent="0.25">
      <c r="A7">
        <v>10</v>
      </c>
      <c r="B7" t="s">
        <v>141</v>
      </c>
      <c r="D7">
        <f t="shared" si="0"/>
        <v>0</v>
      </c>
    </row>
    <row r="8" spans="1:4" x14ac:dyDescent="0.25">
      <c r="A8">
        <v>11</v>
      </c>
      <c r="B8" t="s">
        <v>142</v>
      </c>
      <c r="C8">
        <v>5</v>
      </c>
      <c r="D8">
        <f t="shared" si="0"/>
        <v>6</v>
      </c>
    </row>
    <row r="9" spans="1:4" x14ac:dyDescent="0.25">
      <c r="A9">
        <v>14</v>
      </c>
      <c r="B9" t="s">
        <v>143</v>
      </c>
      <c r="D9">
        <f t="shared" si="0"/>
        <v>0</v>
      </c>
    </row>
    <row r="10" spans="1:4" x14ac:dyDescent="0.25">
      <c r="A10">
        <v>15</v>
      </c>
      <c r="B10" t="s">
        <v>144</v>
      </c>
      <c r="C10">
        <v>3</v>
      </c>
      <c r="D10">
        <f t="shared" si="0"/>
        <v>4</v>
      </c>
    </row>
    <row r="11" spans="1:4" x14ac:dyDescent="0.25">
      <c r="A11">
        <v>16</v>
      </c>
      <c r="B11" t="s">
        <v>145</v>
      </c>
      <c r="D11">
        <f t="shared" si="0"/>
        <v>0</v>
      </c>
    </row>
    <row r="12" spans="1:4" x14ac:dyDescent="0.25">
      <c r="A12">
        <v>17</v>
      </c>
      <c r="B12" t="s">
        <v>146</v>
      </c>
      <c r="D12">
        <f t="shared" si="0"/>
        <v>0</v>
      </c>
    </row>
    <row r="13" spans="1:4" x14ac:dyDescent="0.25">
      <c r="A13">
        <v>19</v>
      </c>
      <c r="B13" t="s">
        <v>146</v>
      </c>
      <c r="D13">
        <f t="shared" si="0"/>
        <v>0</v>
      </c>
    </row>
  </sheetData>
  <conditionalFormatting sqref="D2:D13">
    <cfRule type="cellIs" dxfId="1" priority="1" operator="lessThan">
      <formula>6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4" bestFit="1" customWidth="1"/>
    <col min="2" max="2" width="51.42578125" bestFit="1" customWidth="1"/>
  </cols>
  <sheetData>
    <row r="1" spans="1:21" x14ac:dyDescent="0.25">
      <c r="A1" s="1" t="s">
        <v>0</v>
      </c>
      <c r="B1" s="1" t="s">
        <v>1</v>
      </c>
      <c r="C1" t="s">
        <v>169</v>
      </c>
      <c r="D1" t="s">
        <v>170</v>
      </c>
    </row>
    <row r="2" spans="1:21" x14ac:dyDescent="0.25">
      <c r="A2">
        <v>2</v>
      </c>
      <c r="B2" t="s">
        <v>147</v>
      </c>
      <c r="C2">
        <v>3</v>
      </c>
      <c r="D2">
        <f>IF(C2="", 0, ROUND( 4 + (C2 - MIN($C:$C)) * 6 / (MAX($C:$C) - MIN($C:$C)), 0))</f>
        <v>7</v>
      </c>
    </row>
    <row r="3" spans="1:21" x14ac:dyDescent="0.25">
      <c r="A3">
        <v>5</v>
      </c>
      <c r="B3" t="s">
        <v>148</v>
      </c>
      <c r="C3">
        <v>4</v>
      </c>
      <c r="D3">
        <f t="shared" ref="D3:D24" si="0">IF(C3="", 0, ROUND( 4 + (C3 - MIN($C:$C)) * 6 / (MAX($C:$C) - MIN($C:$C)), 0))</f>
        <v>9</v>
      </c>
    </row>
    <row r="4" spans="1:21" x14ac:dyDescent="0.25">
      <c r="A4">
        <v>9</v>
      </c>
      <c r="B4" t="s">
        <v>149</v>
      </c>
      <c r="D4">
        <f t="shared" si="0"/>
        <v>0</v>
      </c>
    </row>
    <row r="5" spans="1:21" x14ac:dyDescent="0.25">
      <c r="A5">
        <v>10</v>
      </c>
      <c r="B5" t="s">
        <v>150</v>
      </c>
      <c r="C5">
        <v>3</v>
      </c>
      <c r="D5">
        <f t="shared" si="0"/>
        <v>7</v>
      </c>
      <c r="L5" s="2"/>
    </row>
    <row r="6" spans="1:21" x14ac:dyDescent="0.25">
      <c r="A6">
        <v>11</v>
      </c>
      <c r="B6" t="s">
        <v>151</v>
      </c>
      <c r="D6">
        <f t="shared" si="0"/>
        <v>0</v>
      </c>
      <c r="L6" s="2"/>
      <c r="U6" s="3"/>
    </row>
    <row r="7" spans="1:21" x14ac:dyDescent="0.25">
      <c r="A7">
        <v>12</v>
      </c>
      <c r="B7" t="s">
        <v>152</v>
      </c>
      <c r="D7">
        <f t="shared" si="0"/>
        <v>0</v>
      </c>
    </row>
    <row r="8" spans="1:21" x14ac:dyDescent="0.25">
      <c r="A8">
        <v>14</v>
      </c>
      <c r="B8" t="s">
        <v>153</v>
      </c>
      <c r="C8">
        <v>4</v>
      </c>
      <c r="D8">
        <f t="shared" si="0"/>
        <v>9</v>
      </c>
    </row>
    <row r="9" spans="1:21" x14ac:dyDescent="0.25">
      <c r="A9">
        <v>15</v>
      </c>
      <c r="B9" t="s">
        <v>154</v>
      </c>
      <c r="D9">
        <f t="shared" si="0"/>
        <v>0</v>
      </c>
    </row>
    <row r="10" spans="1:21" x14ac:dyDescent="0.25">
      <c r="A10">
        <v>16</v>
      </c>
      <c r="B10" t="s">
        <v>155</v>
      </c>
      <c r="C10">
        <v>4</v>
      </c>
      <c r="D10">
        <f t="shared" si="0"/>
        <v>9</v>
      </c>
    </row>
    <row r="11" spans="1:21" x14ac:dyDescent="0.25">
      <c r="A11">
        <v>19</v>
      </c>
      <c r="B11" t="s">
        <v>156</v>
      </c>
      <c r="D11">
        <f t="shared" si="0"/>
        <v>0</v>
      </c>
    </row>
    <row r="12" spans="1:21" x14ac:dyDescent="0.25">
      <c r="A12">
        <v>20</v>
      </c>
      <c r="B12" t="s">
        <v>157</v>
      </c>
      <c r="C12">
        <v>3</v>
      </c>
      <c r="D12">
        <f t="shared" si="0"/>
        <v>7</v>
      </c>
    </row>
    <row r="13" spans="1:21" x14ac:dyDescent="0.25">
      <c r="A13">
        <v>21</v>
      </c>
      <c r="B13" t="s">
        <v>158</v>
      </c>
      <c r="D13">
        <f t="shared" si="0"/>
        <v>0</v>
      </c>
    </row>
    <row r="14" spans="1:21" x14ac:dyDescent="0.25">
      <c r="A14">
        <v>22</v>
      </c>
      <c r="B14" t="s">
        <v>159</v>
      </c>
      <c r="D14">
        <f t="shared" si="0"/>
        <v>0</v>
      </c>
    </row>
    <row r="15" spans="1:21" x14ac:dyDescent="0.25">
      <c r="A15">
        <v>23</v>
      </c>
      <c r="B15" t="s">
        <v>160</v>
      </c>
      <c r="C15">
        <v>4</v>
      </c>
      <c r="D15">
        <f t="shared" si="0"/>
        <v>9</v>
      </c>
    </row>
    <row r="16" spans="1:21" x14ac:dyDescent="0.25">
      <c r="A16">
        <v>25</v>
      </c>
      <c r="B16" t="s">
        <v>161</v>
      </c>
      <c r="C16">
        <v>1</v>
      </c>
      <c r="D16">
        <f t="shared" si="0"/>
        <v>4</v>
      </c>
    </row>
    <row r="17" spans="1:4" x14ac:dyDescent="0.25">
      <c r="A17">
        <v>27</v>
      </c>
      <c r="B17" t="s">
        <v>162</v>
      </c>
      <c r="D17">
        <f t="shared" si="0"/>
        <v>0</v>
      </c>
    </row>
    <row r="18" spans="1:4" x14ac:dyDescent="0.25">
      <c r="A18">
        <v>28</v>
      </c>
      <c r="B18" t="s">
        <v>146</v>
      </c>
      <c r="D18">
        <f t="shared" si="0"/>
        <v>0</v>
      </c>
    </row>
    <row r="19" spans="1:4" x14ac:dyDescent="0.25">
      <c r="A19">
        <v>30</v>
      </c>
      <c r="B19" t="s">
        <v>163</v>
      </c>
      <c r="C19">
        <v>5</v>
      </c>
      <c r="D19">
        <f t="shared" si="0"/>
        <v>10</v>
      </c>
    </row>
    <row r="20" spans="1:4" x14ac:dyDescent="0.25">
      <c r="A20">
        <v>31</v>
      </c>
      <c r="B20" t="s">
        <v>164</v>
      </c>
      <c r="C20">
        <v>4</v>
      </c>
      <c r="D20">
        <f t="shared" si="0"/>
        <v>9</v>
      </c>
    </row>
    <row r="21" spans="1:4" x14ac:dyDescent="0.25">
      <c r="A21">
        <v>32</v>
      </c>
      <c r="B21" t="s">
        <v>165</v>
      </c>
      <c r="D21">
        <f t="shared" si="0"/>
        <v>0</v>
      </c>
    </row>
    <row r="22" spans="1:4" x14ac:dyDescent="0.25">
      <c r="A22">
        <v>33</v>
      </c>
      <c r="B22" t="s">
        <v>166</v>
      </c>
      <c r="D22">
        <f t="shared" si="0"/>
        <v>0</v>
      </c>
    </row>
    <row r="23" spans="1:4" x14ac:dyDescent="0.25">
      <c r="A23">
        <v>35</v>
      </c>
      <c r="B23" t="s">
        <v>167</v>
      </c>
      <c r="C23">
        <v>4</v>
      </c>
      <c r="D23">
        <f t="shared" si="0"/>
        <v>9</v>
      </c>
    </row>
    <row r="24" spans="1:4" x14ac:dyDescent="0.25">
      <c r="A24">
        <v>36</v>
      </c>
      <c r="B24" t="s">
        <v>168</v>
      </c>
      <c r="C24">
        <v>3</v>
      </c>
      <c r="D24">
        <f t="shared" si="0"/>
        <v>7</v>
      </c>
    </row>
  </sheetData>
  <conditionalFormatting sqref="D2:D24">
    <cfRule type="cellIs" dxfId="0" priority="1" operator="lessThan">
      <formula>6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1ªIM01-EM</vt:lpstr>
      <vt:lpstr>1ªIM02-EM</vt:lpstr>
      <vt:lpstr>1ªIM03-EM</vt:lpstr>
      <vt:lpstr>2ªIM01-EM-ENE</vt:lpstr>
      <vt:lpstr>2ªIM01-EM-MID</vt:lpstr>
      <vt:lpstr>2ªIM02-EM-MID</vt:lpstr>
      <vt:lpstr>3ªIM01-EM-ENE</vt:lpstr>
      <vt:lpstr>3ªIM01-EM-MID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Renato</cp:lastModifiedBy>
  <dcterms:created xsi:type="dcterms:W3CDTF">2025-08-24T18:01:01Z</dcterms:created>
  <dcterms:modified xsi:type="dcterms:W3CDTF">2025-12-02T10:20:17Z</dcterms:modified>
</cp:coreProperties>
</file>